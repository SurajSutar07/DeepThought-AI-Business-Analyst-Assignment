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<sst xmlns="http://schemas.openxmlformats.org/spreadsheetml/2006/main" count="42" uniqueCount="42">
  <si>
    <t>INPUTS</t>
  </si>
  <si>
    <t>VALUES</t>
  </si>
  <si>
    <t>Ad Spend</t>
  </si>
  <si>
    <t>Monthly Profit</t>
  </si>
  <si>
    <t>Selling Price (SP)</t>
  </si>
  <si>
    <t>COGS</t>
  </si>
  <si>
    <t>Amazon Referral Fee (%)</t>
  </si>
  <si>
    <t>Monthly Ad Spend</t>
  </si>
  <si>
    <t>Units Sold via Ads</t>
  </si>
  <si>
    <t>Organic Units Sold</t>
  </si>
  <si>
    <t>Fixed Costs</t>
  </si>
  <si>
    <t>Output</t>
  </si>
  <si>
    <t>Value</t>
  </si>
  <si>
    <t>Gross Margin per Unit</t>
  </si>
  <si>
    <t>Amazon Fee per Unit</t>
  </si>
  <si>
    <t>Ad Cost per Unit</t>
  </si>
  <si>
    <t>Net Margin (Ad Units)</t>
  </si>
  <si>
    <t>Net Margin (Organic Units)</t>
  </si>
  <si>
    <t>Total Revenue</t>
  </si>
  <si>
    <t>Total Monthly Profit</t>
  </si>
  <si>
    <t>ACOS</t>
  </si>
  <si>
    <t>TACOS</t>
  </si>
  <si>
    <t>Break-Even Ad Spend</t>
  </si>
  <si>
    <t>Scenario 1: Price Increase</t>
  </si>
  <si>
    <t>Change SP from 800 → 950</t>
  </si>
  <si>
    <t>Profit = ₹15,59,000</t>
  </si>
  <si>
    <t>TACOS = 9.02%</t>
  </si>
  <si>
    <r>
      <rPr>
        <rFont val="Arial"/>
        <b/>
        <color theme="1"/>
      </rPr>
      <t>Observation</t>
    </r>
    <r>
      <rPr>
        <rFont val="Arial"/>
        <color theme="1"/>
      </rPr>
      <t>: Higher selling price significantly improves profitability while reducing TACOS.</t>
    </r>
  </si>
  <si>
    <t>Scenario 2: COGS Increase</t>
  </si>
  <si>
    <t>Change COGS from 280 → 336</t>
  </si>
  <si>
    <t>New Break-Even Ad Spend = ₹11,38,000</t>
  </si>
  <si>
    <r>
      <rPr>
        <rFont val="Arial"/>
        <b/>
        <color theme="1"/>
      </rPr>
      <t>Observation</t>
    </r>
    <r>
      <rPr>
        <rFont val="Arial"/>
        <color theme="1"/>
      </rPr>
      <t>: An increase in COGS reduces profit margins and decreases the maximum ad spend the business can sustain while remaining profitable.</t>
    </r>
  </si>
  <si>
    <t>Scenario 3: Organic Growth</t>
  </si>
  <si>
    <t>Change Organic Units from 2000 → 3500</t>
  </si>
  <si>
    <t>New TACOS = 7.50%</t>
  </si>
  <si>
    <r>
      <rPr>
        <rFont val="Arial"/>
        <b/>
        <color theme="1"/>
      </rPr>
      <t>Observation</t>
    </r>
    <r>
      <rPr>
        <rFont val="Arial"/>
        <color theme="1"/>
      </rPr>
      <t>: Organic growth improves overall business efficiency because revenue increases without requiring additional advertising investment, resulting in a lower TACOS.</t>
    </r>
  </si>
  <si>
    <t>Scenario 4: Price Reduction</t>
  </si>
  <si>
    <t>Change SP from 800 → 700</t>
  </si>
  <si>
    <t>Profit Impact = Monthly profit decreases to ₹6,84,000</t>
  </si>
  <si>
    <r>
      <rPr>
        <rFont val="Arial"/>
        <b/>
        <color theme="1"/>
      </rPr>
      <t>Recommendation</t>
    </r>
    <r>
      <rPr>
        <rFont val="Arial"/>
        <color theme="1"/>
      </rPr>
      <t>: Reducing price may improve competitiveness and potentially increase sales volume. However, the decline in profitability should be carefully evaluated before implementing a price reduction strategy.</t>
    </r>
  </si>
  <si>
    <t>Conclusion:</t>
  </si>
  <si>
    <t>The profitability model shows that GlowNest remains profitable under different business scenarios. Increasing price and growing organic sales create the strongest positive impact on profitability, while higher product costs and lower selling prices reduce margins. Based on this analysis, focusing on organic growth and maintaining healthy margins appears to be the most sustainable long-term strategy.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</si>
</sst>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CCE5FF"/>
        <bgColor rgb="FFCCE5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2" fontId="1" numFmtId="164" xfId="0" applyAlignment="1" applyFont="1" applyNumberFormat="1">
      <alignment readingOrder="0"/>
    </xf>
    <xf borderId="0" fillId="0" fontId="1" numFmtId="0" xfId="0" applyAlignment="1" applyFont="1">
      <alignment readingOrder="0"/>
    </xf>
    <xf borderId="0" fillId="0" fontId="1" numFmtId="164" xfId="0" applyAlignment="1" applyFont="1" applyNumberFormat="1">
      <alignment readingOrder="0"/>
    </xf>
    <xf borderId="0" fillId="2" fontId="1" numFmtId="10" xfId="0" applyAlignment="1" applyFont="1" applyNumberFormat="1">
      <alignment readingOrder="0"/>
    </xf>
    <xf borderId="0" fillId="2" fontId="1" numFmtId="0" xfId="0" applyAlignment="1" applyFont="1">
      <alignment readingOrder="0"/>
    </xf>
    <xf borderId="0" fillId="3" fontId="1" numFmtId="0" xfId="0" applyAlignment="1" applyFill="1" applyFont="1">
      <alignment readingOrder="0"/>
    </xf>
    <xf borderId="0" fillId="3" fontId="1" numFmtId="164" xfId="0" applyFont="1" applyNumberFormat="1"/>
    <xf borderId="0" fillId="3" fontId="1" numFmtId="10" xfId="0" applyFont="1" applyNumberForma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Ad Spend vs Profit</a:t>
            </a:r>
          </a:p>
        </c:rich>
      </c:tx>
      <c:overlay val="0"/>
    </c:title>
    <c:plotArea>
      <c:layout/>
      <c:barChart>
        <c:barDir val="col"/>
        <c:ser>
          <c:idx val="0"/>
          <c:order val="0"/>
          <c:tx>
            <c:strRef>
              <c:f>Sheet1!$E$1</c:f>
            </c:strRef>
          </c:tx>
          <c:spPr>
            <a:solidFill>
              <a:schemeClr val="accent1"/>
            </a:solidFill>
            <a:ln cmpd="sng">
              <a:solidFill>
                <a:srgbClr val="000000"/>
              </a:solidFill>
            </a:ln>
          </c:spPr>
          <c:cat>
            <c:strRef>
              <c:f>Sheet1!$D$2:$D$3</c:f>
            </c:strRef>
          </c:cat>
          <c:val>
            <c:numRef>
              <c:f>Sheet1!$E$2:$E$3</c:f>
              <c:numCache/>
            </c:numRef>
          </c:val>
        </c:ser>
        <c:axId val="1323408506"/>
        <c:axId val="704379598"/>
      </c:barChart>
      <c:catAx>
        <c:axId val="132340850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Ad Spend</a:t>
                </a:r>
              </a:p>
            </c:rich>
          </c:tx>
          <c:overlay val="0"/>
        </c:title>
        <c:numFmt formatCode="General" sourceLinked="1"/>
        <c:majorTickMark val="none"/>
        <c:minorTickMark val="none"/>
        <c:spPr/>
        <c:txPr>
          <a:bodyPr/>
          <a:lstStyle/>
          <a:p>
            <a:pPr lvl="0">
              <a:defRPr b="0">
                <a:solidFill>
                  <a:srgbClr val="000000"/>
                </a:solidFill>
                <a:latin typeface="Roboto"/>
              </a:defRPr>
            </a:pPr>
          </a:p>
        </c:txPr>
        <c:crossAx val="704379598"/>
      </c:catAx>
      <c:valAx>
        <c:axId val="7043795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Monthly Profit</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23408506"/>
      </c:valAx>
    </c:plotArea>
    <c:legend>
      <c:legendPos val="b"/>
      <c:overlay val="0"/>
      <c:txPr>
        <a:bodyPr/>
        <a:lstStyle/>
        <a:p>
          <a:pPr lvl="0">
            <a:defRPr b="0">
              <a:solidFill>
                <a:srgbClr val="1A1A1A"/>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200025</xdr:rowOff>
    </xdr:from>
    <xdr:ext cx="5676900" cy="2857500"/>
    <xdr:graphicFrame>
      <xdr:nvGraphicFramePr>
        <xdr:cNvPr id="1" name="Chart 1" title="Ad Spend vs Profi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11.63"/>
  </cols>
  <sheetData>
    <row r="1">
      <c r="A1" s="1" t="s">
        <v>0</v>
      </c>
      <c r="B1" s="1" t="s">
        <v>1</v>
      </c>
      <c r="D1" s="2" t="s">
        <v>2</v>
      </c>
      <c r="E1" s="2" t="s">
        <v>3</v>
      </c>
    </row>
    <row r="2">
      <c r="A2" s="1" t="s">
        <v>4</v>
      </c>
      <c r="B2" s="3">
        <v>800.0</v>
      </c>
      <c r="D2" s="4">
        <v>300000.0</v>
      </c>
      <c r="E2" s="5">
        <v>1034000.0</v>
      </c>
    </row>
    <row r="3">
      <c r="A3" s="1" t="s">
        <v>5</v>
      </c>
      <c r="B3" s="3">
        <v>280.0</v>
      </c>
      <c r="D3" s="4">
        <v>600000.0</v>
      </c>
      <c r="E3" s="5">
        <v>1158000.0</v>
      </c>
    </row>
    <row r="4">
      <c r="A4" s="1" t="s">
        <v>6</v>
      </c>
      <c r="B4" s="6">
        <v>0.12</v>
      </c>
    </row>
    <row r="5">
      <c r="A5" s="1" t="s">
        <v>7</v>
      </c>
      <c r="B5" s="3">
        <v>300000.0</v>
      </c>
    </row>
    <row r="6">
      <c r="A6" s="1" t="s">
        <v>8</v>
      </c>
      <c r="B6" s="7">
        <v>1500.0</v>
      </c>
    </row>
    <row r="7">
      <c r="A7" s="1" t="s">
        <v>9</v>
      </c>
      <c r="B7" s="7">
        <v>2000.0</v>
      </c>
    </row>
    <row r="8">
      <c r="A8" s="1" t="s">
        <v>10</v>
      </c>
      <c r="B8" s="3">
        <v>150000.0</v>
      </c>
    </row>
    <row r="12">
      <c r="A12" s="8" t="s">
        <v>11</v>
      </c>
      <c r="B12" s="8" t="s">
        <v>12</v>
      </c>
    </row>
    <row r="13">
      <c r="A13" s="8" t="s">
        <v>13</v>
      </c>
      <c r="B13" s="9">
        <f>B2-B3</f>
        <v>520</v>
      </c>
    </row>
    <row r="14">
      <c r="A14" s="8" t="s">
        <v>14</v>
      </c>
      <c r="B14" s="9">
        <f>B2*B4</f>
        <v>96</v>
      </c>
    </row>
    <row r="15">
      <c r="A15" s="8" t="s">
        <v>15</v>
      </c>
      <c r="B15" s="9">
        <f>B5/B6</f>
        <v>200</v>
      </c>
    </row>
    <row r="16">
      <c r="A16" s="8" t="s">
        <v>16</v>
      </c>
      <c r="B16" s="9">
        <f>B13-B14-B15</f>
        <v>224</v>
      </c>
    </row>
    <row r="17">
      <c r="A17" s="8" t="s">
        <v>17</v>
      </c>
      <c r="B17" s="9">
        <f>B13-B14</f>
        <v>424</v>
      </c>
    </row>
    <row r="18">
      <c r="A18" s="8" t="s">
        <v>18</v>
      </c>
      <c r="B18" s="9">
        <f>B2*(B6+B7)</f>
        <v>2800000</v>
      </c>
    </row>
    <row r="19">
      <c r="A19" s="8" t="s">
        <v>19</v>
      </c>
      <c r="B19" s="9">
        <f>(B16*B6)+(B17*B7)-B8</f>
        <v>1034000</v>
      </c>
    </row>
    <row r="20">
      <c r="A20" s="8" t="s">
        <v>20</v>
      </c>
      <c r="B20" s="10">
        <f>B5/(B2*B6)</f>
        <v>0.25</v>
      </c>
    </row>
    <row r="21">
      <c r="A21" s="8" t="s">
        <v>21</v>
      </c>
      <c r="B21" s="10">
        <f>B5/B18</f>
        <v>0.1071428571</v>
      </c>
    </row>
    <row r="22">
      <c r="A22" s="8" t="s">
        <v>22</v>
      </c>
      <c r="B22" s="9">
        <f>(B16*B6)+(B17*B7)-B8+B5</f>
        <v>1334000</v>
      </c>
    </row>
    <row r="24">
      <c r="A24" s="11" t="s">
        <v>23</v>
      </c>
    </row>
    <row r="25">
      <c r="A25" s="2" t="s">
        <v>24</v>
      </c>
    </row>
    <row r="26">
      <c r="A26" s="2" t="s">
        <v>25</v>
      </c>
    </row>
    <row r="27">
      <c r="A27" s="2" t="s">
        <v>26</v>
      </c>
    </row>
    <row r="28">
      <c r="A28" s="2" t="s">
        <v>27</v>
      </c>
    </row>
    <row r="29">
      <c r="A29" s="11" t="s">
        <v>28</v>
      </c>
    </row>
    <row r="30">
      <c r="A30" s="2" t="s">
        <v>29</v>
      </c>
    </row>
    <row r="31">
      <c r="A31" s="2" t="s">
        <v>30</v>
      </c>
    </row>
    <row r="32">
      <c r="A32" s="2" t="s">
        <v>31</v>
      </c>
    </row>
    <row r="33">
      <c r="A33" s="11" t="s">
        <v>32</v>
      </c>
    </row>
    <row r="34">
      <c r="A34" s="2" t="s">
        <v>33</v>
      </c>
    </row>
    <row r="35">
      <c r="A35" s="2" t="s">
        <v>34</v>
      </c>
    </row>
    <row r="36">
      <c r="A36" s="2" t="s">
        <v>35</v>
      </c>
    </row>
    <row r="37">
      <c r="A37" s="11" t="s">
        <v>36</v>
      </c>
    </row>
    <row r="38">
      <c r="A38" s="2" t="s">
        <v>37</v>
      </c>
    </row>
    <row r="39">
      <c r="A39" s="2" t="s">
        <v>38</v>
      </c>
    </row>
    <row r="40">
      <c r="A40" s="2" t="s">
        <v>39</v>
      </c>
    </row>
    <row r="42">
      <c r="A42" s="11" t="s">
        <v>40</v>
      </c>
    </row>
    <row r="43">
      <c r="A43" s="2" t="s">
        <v>41</v>
      </c>
    </row>
  </sheetData>
  <drawing r:id="rId1"/>
</worksheet>
</file>